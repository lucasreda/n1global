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M" sheetId="1" r:id="rId4"/>
    <sheet state="visible" name="Página3" sheetId="2" r:id="rId5"/>
    <sheet state="visible" name="Página2" sheetId="3" r:id="rId6"/>
  </sheets>
  <definedNames/>
  <calcPr/>
</workbook>
</file>

<file path=xl/sharedStrings.xml><?xml version="1.0" encoding="utf-8"?>
<sst xmlns="http://schemas.openxmlformats.org/spreadsheetml/2006/main" count="40" uniqueCount="39">
  <si>
    <t>€stimativa de Lucro Mensal</t>
  </si>
  <si>
    <t>Calculo de Custo por Produto</t>
  </si>
  <si>
    <t>Valores Diários</t>
  </si>
  <si>
    <t>Previsibilidade de Números</t>
  </si>
  <si>
    <t>Custos</t>
  </si>
  <si>
    <t>Valor €</t>
  </si>
  <si>
    <t>Pedidos Diários</t>
  </si>
  <si>
    <t>% Confirmação</t>
  </si>
  <si>
    <t>% Entregados</t>
  </si>
  <si>
    <t>Cotação Euro</t>
  </si>
  <si>
    <t>Preço de Venda</t>
  </si>
  <si>
    <t>pedidos no mes</t>
  </si>
  <si>
    <t>Custo do Produto</t>
  </si>
  <si>
    <t>➡️</t>
  </si>
  <si>
    <t>confirmados</t>
  </si>
  <si>
    <t>CPA ADS</t>
  </si>
  <si>
    <t>entregados</t>
  </si>
  <si>
    <t>Envio</t>
  </si>
  <si>
    <t>Tráfego Diário</t>
  </si>
  <si>
    <t>recusados</t>
  </si>
  <si>
    <t>Seguro</t>
  </si>
  <si>
    <t>Faturamento Real</t>
  </si>
  <si>
    <t>valor trafego</t>
  </si>
  <si>
    <t>Tx Armazem</t>
  </si>
  <si>
    <t>Lucro Bruto</t>
  </si>
  <si>
    <t>valor recusados</t>
  </si>
  <si>
    <t>CUSTO TOTAL</t>
  </si>
  <si>
    <t>CPA Confirmados</t>
  </si>
  <si>
    <t>valor seguro</t>
  </si>
  <si>
    <t>LUCRO BRUTO</t>
  </si>
  <si>
    <t>fatura de envios</t>
  </si>
  <si>
    <t>CT sem Trafego</t>
  </si>
  <si>
    <t>valor recebido</t>
  </si>
  <si>
    <t>Valor Recebido</t>
  </si>
  <si>
    <t>Confirmação</t>
  </si>
  <si>
    <t>Lucro</t>
  </si>
  <si>
    <t>💡 alterar apenas células verdes</t>
  </si>
  <si>
    <t xml:space="preserve"> </t>
  </si>
  <si>
    <t>Margem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</si>
</sst>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€]#,##0.00"/>
    <numFmt numFmtId="165" formatCode="#,##0.0"/>
    <numFmt numFmtId="166" formatCode="[$R$]#,##0.00"/>
    <numFmt numFmtId="167" formatCode="[$€]#,##0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Montserrat"/>
    </font>
    <font>
      <sz val="17.0"/>
      <color theme="1"/>
      <name val="Arial"/>
      <scheme val="minor"/>
    </font>
    <font>
      <b/>
      <i/>
      <sz val="22.0"/>
      <color rgb="FFFFFFFF"/>
      <name val="Montserrat"/>
    </font>
    <font>
      <sz val="19.0"/>
      <color theme="1"/>
      <name val="Montserrat"/>
    </font>
    <font>
      <sz val="17.0"/>
      <color theme="1"/>
      <name val="Montserrat"/>
    </font>
    <font>
      <i/>
      <sz val="18.0"/>
      <color rgb="FFFFFFFF"/>
      <name val="Montserrat"/>
    </font>
    <font>
      <i/>
      <sz val="16.0"/>
      <color rgb="FFFFFFFF"/>
      <name val="Montserrat"/>
    </font>
    <font>
      <b/>
      <i/>
      <sz val="18.0"/>
      <color rgb="FFD9D9D9"/>
      <name val="Montserrat"/>
    </font>
    <font>
      <b/>
      <sz val="18.0"/>
      <color rgb="FFD9D9D9"/>
      <name val="Montserrat"/>
    </font>
    <font>
      <b/>
      <i/>
      <sz val="15.0"/>
      <color rgb="FFD9D9D9"/>
      <name val="Montserrat"/>
    </font>
    <font>
      <i/>
      <sz val="14.0"/>
      <color theme="1"/>
      <name val="Montserrat"/>
    </font>
    <font>
      <b/>
      <i/>
      <sz val="18.0"/>
      <color rgb="FF000000"/>
      <name val="Montserrat"/>
    </font>
    <font>
      <b/>
      <i/>
      <sz val="16.0"/>
      <color rgb="FF000000"/>
      <name val="Montserrat"/>
    </font>
    <font>
      <sz val="16.0"/>
      <color theme="1"/>
      <name val="Montserrat"/>
    </font>
    <font>
      <b/>
      <sz val="16.0"/>
      <color theme="1"/>
      <name val="Montserrat"/>
    </font>
    <font>
      <sz val="16.0"/>
      <color theme="1"/>
      <name val="Arial"/>
      <scheme val="minor"/>
    </font>
    <font>
      <b/>
      <i/>
      <sz val="16.0"/>
      <color theme="1"/>
      <name val="Montserrat"/>
    </font>
    <font/>
    <font>
      <b/>
      <sz val="16.0"/>
      <color rgb="FF274E13"/>
      <name val="Montserrat"/>
    </font>
    <font>
      <b/>
      <sz val="19.0"/>
      <color rgb="FFFFFFFF"/>
      <name val="Montserrat"/>
    </font>
    <font>
      <b/>
      <sz val="20.0"/>
      <color rgb="FFF6FFF3"/>
      <name val="Montserrat"/>
    </font>
    <font>
      <b/>
      <sz val="20.0"/>
      <color rgb="FFFFFFFF"/>
      <name val="Montserrat"/>
    </font>
    <font>
      <b/>
      <i/>
      <sz val="15.0"/>
      <color rgb="FF000000"/>
      <name val="Montserrat"/>
    </font>
    <font>
      <sz val="16.0"/>
      <color rgb="FFFFFFFF"/>
      <name val="Montserrat"/>
    </font>
  </fonts>
  <fills count="14">
    <fill>
      <patternFill patternType="none"/>
    </fill>
    <fill>
      <patternFill patternType="lightGray"/>
    </fill>
    <fill>
      <patternFill patternType="solid">
        <fgColor rgb="FF4C4C56"/>
        <bgColor rgb="FF4C4C56"/>
      </patternFill>
    </fill>
    <fill>
      <patternFill patternType="solid">
        <fgColor rgb="FF2C2C32"/>
        <bgColor rgb="FF2C2C32"/>
      </patternFill>
    </fill>
    <fill>
      <patternFill patternType="solid">
        <fgColor rgb="FF2C2C31"/>
        <bgColor rgb="FF2C2C31"/>
      </patternFill>
    </fill>
    <fill>
      <patternFill patternType="solid">
        <fgColor rgb="FFC5FF4D"/>
        <bgColor rgb="FFC5FF4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12C069"/>
        <bgColor rgb="FF12C069"/>
      </patternFill>
    </fill>
    <fill>
      <patternFill patternType="solid">
        <fgColor rgb="FF16C068"/>
        <bgColor rgb="FF16C068"/>
      </patternFill>
    </fill>
    <fill>
      <patternFill patternType="solid">
        <fgColor rgb="FF2F9E64"/>
        <bgColor rgb="FF2F9E64"/>
      </patternFill>
    </fill>
  </fills>
  <borders count="3">
    <border/>
    <border>
      <right style="thin">
        <color rgb="FF000000"/>
      </right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0" fillId="2" fontId="4" numFmtId="0" xfId="0" applyAlignment="1" applyFont="1">
      <alignment readingOrder="0"/>
    </xf>
    <xf borderId="0" fillId="2" fontId="5" numFmtId="0" xfId="0" applyFont="1"/>
    <xf borderId="0" fillId="2" fontId="6" numFmtId="0" xfId="0" applyFont="1"/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3" fontId="9" numFmtId="0" xfId="0" applyAlignment="1" applyFill="1" applyFont="1">
      <alignment readingOrder="0"/>
    </xf>
    <xf borderId="0" fillId="3" fontId="10" numFmtId="0" xfId="0" applyAlignment="1" applyFont="1">
      <alignment horizontal="right" readingOrder="0"/>
    </xf>
    <xf borderId="0" fillId="4" fontId="11" numFmtId="0" xfId="0" applyAlignment="1" applyFill="1" applyFont="1">
      <alignment readingOrder="0"/>
    </xf>
    <xf borderId="0" fillId="4" fontId="11" numFmtId="0" xfId="0" applyAlignment="1" applyFont="1">
      <alignment horizontal="center" readingOrder="0"/>
    </xf>
    <xf borderId="0" fillId="5" fontId="12" numFmtId="0" xfId="0" applyAlignment="1" applyFill="1" applyFont="1">
      <alignment readingOrder="0"/>
    </xf>
    <xf borderId="1" fillId="5" fontId="12" numFmtId="0" xfId="0" applyAlignment="1" applyBorder="1" applyFont="1">
      <alignment readingOrder="0"/>
    </xf>
    <xf borderId="0" fillId="5" fontId="13" numFmtId="164" xfId="0" applyAlignment="1" applyFont="1" applyNumberFormat="1">
      <alignment horizontal="right" readingOrder="0"/>
    </xf>
    <xf borderId="0" fillId="5" fontId="14" numFmtId="165" xfId="0" applyAlignment="1" applyFont="1" applyNumberFormat="1">
      <alignment horizontal="left" readingOrder="0"/>
    </xf>
    <xf borderId="0" fillId="5" fontId="14" numFmtId="164" xfId="0" applyAlignment="1" applyFont="1" applyNumberFormat="1">
      <alignment horizontal="right" readingOrder="0"/>
    </xf>
    <xf borderId="0" fillId="5" fontId="13" numFmtId="3" xfId="0" applyAlignment="1" applyFont="1" applyNumberFormat="1">
      <alignment horizontal="center" readingOrder="0"/>
    </xf>
    <xf borderId="0" fillId="5" fontId="13" numFmtId="9" xfId="0" applyAlignment="1" applyFont="1" applyNumberFormat="1">
      <alignment horizontal="center" readingOrder="0"/>
    </xf>
    <xf borderId="0" fillId="0" fontId="15" numFmtId="0" xfId="0" applyAlignment="1" applyFont="1">
      <alignment readingOrder="0"/>
    </xf>
    <xf borderId="0" fillId="0" fontId="16" numFmtId="3" xfId="0" applyAlignment="1" applyFont="1" applyNumberFormat="1">
      <alignment horizontal="center" readingOrder="0"/>
    </xf>
    <xf borderId="0" fillId="5" fontId="14" numFmtId="0" xfId="0" applyAlignment="1" applyFont="1">
      <alignment horizontal="right" readingOrder="0"/>
    </xf>
    <xf borderId="0" fillId="0" fontId="17" numFmtId="0" xfId="0" applyAlignment="1" applyFont="1">
      <alignment horizontal="center" readingOrder="0"/>
    </xf>
    <xf borderId="0" fillId="0" fontId="18" numFmtId="1" xfId="0" applyAlignment="1" applyFont="1" applyNumberFormat="1">
      <alignment horizontal="center"/>
    </xf>
    <xf borderId="0" fillId="0" fontId="18" numFmtId="0" xfId="0" applyFont="1"/>
    <xf borderId="0" fillId="0" fontId="15" numFmtId="0" xfId="0" applyFont="1"/>
    <xf borderId="0" fillId="0" fontId="15" numFmtId="164" xfId="0" applyAlignment="1" applyFont="1" applyNumberFormat="1">
      <alignment readingOrder="0"/>
    </xf>
    <xf borderId="0" fillId="0" fontId="18" numFmtId="3" xfId="0" applyAlignment="1" applyFont="1" applyNumberFormat="1">
      <alignment readingOrder="0"/>
    </xf>
    <xf borderId="0" fillId="0" fontId="15" numFmtId="166" xfId="0" applyFont="1" applyNumberFormat="1"/>
    <xf borderId="2" fillId="0" fontId="15" numFmtId="3" xfId="0" applyAlignment="1" applyBorder="1" applyFont="1" applyNumberFormat="1">
      <alignment readingOrder="0"/>
    </xf>
    <xf borderId="2" fillId="0" fontId="16" numFmtId="3" xfId="0" applyAlignment="1" applyBorder="1" applyFont="1" applyNumberFormat="1">
      <alignment horizontal="center" readingOrder="0"/>
    </xf>
    <xf borderId="2" fillId="0" fontId="19" numFmtId="0" xfId="0" applyBorder="1" applyFont="1"/>
    <xf borderId="0" fillId="0" fontId="18" numFmtId="0" xfId="0" applyAlignment="1" applyFont="1">
      <alignment readingOrder="0"/>
    </xf>
    <xf borderId="0" fillId="0" fontId="15" numFmtId="164" xfId="0" applyFont="1" applyNumberFormat="1"/>
    <xf borderId="0" fillId="0" fontId="15" numFmtId="167" xfId="0" applyAlignment="1" applyFont="1" applyNumberFormat="1">
      <alignment readingOrder="0"/>
    </xf>
    <xf borderId="0" fillId="6" fontId="18" numFmtId="3" xfId="0" applyAlignment="1" applyFill="1" applyFont="1" applyNumberFormat="1">
      <alignment readingOrder="0"/>
    </xf>
    <xf borderId="0" fillId="6" fontId="15" numFmtId="164" xfId="0" applyFont="1" applyNumberFormat="1"/>
    <xf borderId="0" fillId="6" fontId="15" numFmtId="166" xfId="0" applyFont="1" applyNumberFormat="1"/>
    <xf borderId="0" fillId="6" fontId="15" numFmtId="3" xfId="0" applyAlignment="1" applyFont="1" applyNumberFormat="1">
      <alignment readingOrder="0"/>
    </xf>
    <xf borderId="0" fillId="6" fontId="15" numFmtId="164" xfId="0" applyAlignment="1" applyFont="1" applyNumberFormat="1">
      <alignment readingOrder="0"/>
    </xf>
    <xf borderId="0" fillId="7" fontId="16" numFmtId="0" xfId="0" applyAlignment="1" applyFill="1" applyFont="1">
      <alignment readingOrder="0"/>
    </xf>
    <xf borderId="0" fillId="7" fontId="16" numFmtId="164" xfId="0" applyFont="1" applyNumberFormat="1"/>
    <xf borderId="0" fillId="6" fontId="15" numFmtId="0" xfId="0" applyAlignment="1" applyFont="1">
      <alignment readingOrder="0"/>
    </xf>
    <xf borderId="0" fillId="8" fontId="20" numFmtId="0" xfId="0" applyAlignment="1" applyFill="1" applyFont="1">
      <alignment readingOrder="0"/>
    </xf>
    <xf borderId="0" fillId="8" fontId="20" numFmtId="164" xfId="0" applyAlignment="1" applyFont="1" applyNumberFormat="1">
      <alignment readingOrder="0"/>
    </xf>
    <xf borderId="0" fillId="9" fontId="3" numFmtId="0" xfId="0" applyFill="1" applyFont="1"/>
    <xf borderId="0" fillId="6" fontId="15" numFmtId="164" xfId="0" applyFont="1" applyNumberFormat="1"/>
    <xf borderId="0" fillId="0" fontId="15" numFmtId="164" xfId="0" applyFont="1" applyNumberFormat="1"/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0" xfId="0" applyFont="1"/>
    <xf borderId="0" fillId="6" fontId="3" numFmtId="0" xfId="0" applyFont="1"/>
    <xf borderId="0" fillId="10" fontId="6" numFmtId="0" xfId="0" applyAlignment="1" applyFill="1" applyFont="1">
      <alignment readingOrder="0"/>
    </xf>
    <xf borderId="0" fillId="10" fontId="6" numFmtId="0" xfId="0" applyFont="1"/>
    <xf borderId="0" fillId="11" fontId="21" numFmtId="3" xfId="0" applyAlignment="1" applyFill="1" applyFont="1" applyNumberFormat="1">
      <alignment readingOrder="0"/>
    </xf>
    <xf borderId="0" fillId="12" fontId="22" numFmtId="164" xfId="0" applyFill="1" applyFont="1" applyNumberFormat="1"/>
    <xf borderId="0" fillId="11" fontId="23" numFmtId="166" xfId="0" applyFont="1" applyNumberFormat="1"/>
    <xf borderId="0" fillId="5" fontId="24" numFmtId="165" xfId="0" applyAlignment="1" applyFont="1" applyNumberFormat="1">
      <alignment horizontal="left" readingOrder="0" vertical="center"/>
    </xf>
    <xf borderId="0" fillId="5" fontId="14" numFmtId="165" xfId="0" applyAlignment="1" applyFont="1" applyNumberFormat="1">
      <alignment horizontal="left" readingOrder="0" vertical="center"/>
    </xf>
    <xf borderId="0" fillId="2" fontId="3" numFmtId="0" xfId="0" applyAlignment="1" applyFont="1">
      <alignment readingOrder="0"/>
    </xf>
    <xf borderId="0" fillId="13" fontId="25" numFmtId="10" xfId="0" applyFill="1" applyFont="1" applyNumberFormat="1"/>
    <xf borderId="0" fillId="2" fontId="1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38761D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25.63"/>
    <col customWidth="1" min="3" max="3" width="19.63"/>
    <col customWidth="1" min="4" max="4" width="3.88"/>
    <col customWidth="1" min="5" max="5" width="31.0"/>
    <col customWidth="1" min="6" max="6" width="26.88"/>
    <col customWidth="1" min="7" max="7" width="25.75"/>
    <col customWidth="1" min="8" max="8" width="3.13"/>
    <col customWidth="1" min="9" max="9" width="23.5"/>
    <col customWidth="1" min="10" max="10" width="18.38"/>
    <col customWidth="1" min="11" max="11" width="22.0"/>
    <col customWidth="1" min="12" max="12" width="4.38"/>
    <col customWidth="1" min="13" max="17" width="13.88"/>
  </cols>
  <sheetData>
    <row r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3"/>
      <c r="C2" s="4" t="s">
        <v>0</v>
      </c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3"/>
      <c r="C3" s="3"/>
      <c r="D3" s="6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3"/>
      <c r="C4" s="3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7" t="s">
        <v>1</v>
      </c>
      <c r="C5" s="6"/>
      <c r="D5" s="6"/>
      <c r="E5" s="8" t="s">
        <v>2</v>
      </c>
      <c r="F5" s="1"/>
      <c r="G5" s="1"/>
      <c r="H5" s="1"/>
      <c r="I5" s="8" t="s">
        <v>3</v>
      </c>
      <c r="J5" s="1"/>
      <c r="K5" s="1"/>
      <c r="L5" s="1"/>
      <c r="M5" s="1"/>
      <c r="N5" s="1"/>
      <c r="O5" s="1"/>
      <c r="P5" s="1"/>
      <c r="Q5" s="1"/>
    </row>
    <row r="6">
      <c r="A6" s="3"/>
      <c r="B6" s="9" t="s">
        <v>4</v>
      </c>
      <c r="C6" s="10" t="s">
        <v>5</v>
      </c>
      <c r="D6" s="6"/>
      <c r="E6" s="11" t="s">
        <v>6</v>
      </c>
      <c r="F6" s="12" t="s">
        <v>7</v>
      </c>
      <c r="G6" s="12" t="s">
        <v>8</v>
      </c>
      <c r="H6" s="1"/>
      <c r="I6" s="13" t="s">
        <v>9</v>
      </c>
      <c r="J6" s="14"/>
      <c r="K6" s="15">
        <v>6.4</v>
      </c>
      <c r="L6" s="1"/>
      <c r="M6" s="1"/>
      <c r="N6" s="1"/>
      <c r="O6" s="1"/>
      <c r="P6" s="1"/>
      <c r="Q6" s="1"/>
    </row>
    <row r="7">
      <c r="A7" s="3"/>
      <c r="B7" s="16" t="s">
        <v>10</v>
      </c>
      <c r="C7" s="17">
        <v>70.0</v>
      </c>
      <c r="D7" s="6"/>
      <c r="E7" s="18">
        <v>32.0</v>
      </c>
      <c r="F7" s="19">
        <v>0.98</v>
      </c>
      <c r="G7" s="19">
        <v>0.55</v>
      </c>
      <c r="H7" s="1"/>
      <c r="I7" s="20" t="s">
        <v>11</v>
      </c>
      <c r="J7" s="21">
        <f>E7*30</f>
        <v>960</v>
      </c>
      <c r="L7" s="1"/>
      <c r="M7" s="1"/>
      <c r="N7" s="1"/>
      <c r="O7" s="1"/>
      <c r="P7" s="1"/>
      <c r="Q7" s="1"/>
    </row>
    <row r="8">
      <c r="A8" s="3"/>
      <c r="B8" s="16" t="s">
        <v>12</v>
      </c>
      <c r="C8" s="22">
        <v>12.5</v>
      </c>
      <c r="D8" s="6"/>
      <c r="E8" s="23" t="s">
        <v>13</v>
      </c>
      <c r="F8" s="24">
        <f>E7*F7</f>
        <v>31.36</v>
      </c>
      <c r="G8" s="24">
        <f>F8*G7</f>
        <v>17.248</v>
      </c>
      <c r="H8" s="1"/>
      <c r="I8" s="20" t="s">
        <v>14</v>
      </c>
      <c r="J8" s="21">
        <f>F8*30</f>
        <v>940.8</v>
      </c>
      <c r="L8" s="1"/>
      <c r="M8" s="1"/>
      <c r="N8" s="1"/>
      <c r="O8" s="1"/>
      <c r="P8" s="1"/>
      <c r="Q8" s="1"/>
    </row>
    <row r="9">
      <c r="A9" s="3"/>
      <c r="B9" s="16" t="s">
        <v>15</v>
      </c>
      <c r="C9" s="22">
        <v>12.0</v>
      </c>
      <c r="D9" s="6"/>
      <c r="E9" s="25"/>
      <c r="F9" s="26"/>
      <c r="G9" s="26"/>
      <c r="H9" s="1"/>
      <c r="I9" s="20" t="s">
        <v>16</v>
      </c>
      <c r="J9" s="21">
        <f>J8*G7</f>
        <v>517.44</v>
      </c>
      <c r="L9" s="1"/>
      <c r="M9" s="1"/>
      <c r="N9" s="1"/>
      <c r="O9" s="1"/>
      <c r="P9" s="1"/>
      <c r="Q9" s="1"/>
    </row>
    <row r="10">
      <c r="A10" s="3"/>
      <c r="B10" s="20" t="s">
        <v>17</v>
      </c>
      <c r="C10" s="27">
        <v>7.5</v>
      </c>
      <c r="D10" s="6"/>
      <c r="E10" s="28" t="s">
        <v>18</v>
      </c>
      <c r="F10" s="26">
        <f>E7*C9</f>
        <v>384</v>
      </c>
      <c r="G10" s="29">
        <f>F10*K6</f>
        <v>2457.6</v>
      </c>
      <c r="H10" s="1"/>
      <c r="I10" s="30" t="s">
        <v>19</v>
      </c>
      <c r="J10" s="31">
        <f>J8-J9</f>
        <v>423.36</v>
      </c>
      <c r="K10" s="32"/>
      <c r="L10" s="1"/>
      <c r="M10" s="1"/>
      <c r="N10" s="1"/>
      <c r="O10" s="1"/>
      <c r="P10" s="1"/>
      <c r="Q10" s="1"/>
    </row>
    <row r="11">
      <c r="A11" s="1"/>
      <c r="B11" s="20" t="s">
        <v>20</v>
      </c>
      <c r="C11" s="27">
        <v>0.0</v>
      </c>
      <c r="D11" s="6"/>
      <c r="E11" s="33" t="s">
        <v>21</v>
      </c>
      <c r="F11" s="34">
        <f>G8*C7</f>
        <v>1207.36</v>
      </c>
      <c r="G11" s="29">
        <f>F11*K6</f>
        <v>7727.104</v>
      </c>
      <c r="H11" s="1"/>
      <c r="I11" s="20" t="s">
        <v>22</v>
      </c>
      <c r="J11" s="35">
        <f>J7*C9</f>
        <v>11520</v>
      </c>
      <c r="K11" s="29">
        <f>J11*K6</f>
        <v>73728</v>
      </c>
      <c r="L11" s="1"/>
      <c r="M11" s="1"/>
      <c r="N11" s="1"/>
      <c r="O11" s="1"/>
      <c r="P11" s="1"/>
      <c r="Q11" s="1"/>
    </row>
    <row r="12">
      <c r="A12" s="1"/>
      <c r="B12" s="20" t="s">
        <v>23</v>
      </c>
      <c r="C12" s="27">
        <v>0.0</v>
      </c>
      <c r="D12" s="6"/>
      <c r="E12" s="36" t="s">
        <v>24</v>
      </c>
      <c r="F12" s="37">
        <f>C14*G8</f>
        <v>655.424</v>
      </c>
      <c r="G12" s="38">
        <f>F12*K6</f>
        <v>4194.7136</v>
      </c>
      <c r="H12" s="1"/>
      <c r="I12" s="39" t="s">
        <v>25</v>
      </c>
      <c r="J12" s="40">
        <f>J10*C10</f>
        <v>3175.2</v>
      </c>
      <c r="K12" s="29">
        <f>J12*K6</f>
        <v>20321.28</v>
      </c>
      <c r="L12" s="1"/>
      <c r="M12" s="1"/>
      <c r="N12" s="1"/>
      <c r="O12" s="1"/>
      <c r="P12" s="1"/>
      <c r="Q12" s="1"/>
    </row>
    <row r="13">
      <c r="A13" s="1"/>
      <c r="B13" s="41" t="s">
        <v>26</v>
      </c>
      <c r="C13" s="42">
        <f>SUM(C8:C12)</f>
        <v>32</v>
      </c>
      <c r="D13" s="6"/>
      <c r="E13" s="36" t="s">
        <v>27</v>
      </c>
      <c r="F13" s="37">
        <f>F10/F8</f>
        <v>12.24489796</v>
      </c>
      <c r="G13" s="38">
        <f>F13*K6</f>
        <v>78.36734694</v>
      </c>
      <c r="H13" s="1"/>
      <c r="I13" s="43" t="s">
        <v>28</v>
      </c>
      <c r="J13" s="40">
        <f>C11*J9</f>
        <v>0</v>
      </c>
      <c r="K13" s="29">
        <f>J13*K6</f>
        <v>0</v>
      </c>
      <c r="L13" s="1"/>
      <c r="M13" s="1"/>
      <c r="N13" s="1"/>
      <c r="O13" s="1"/>
      <c r="P13" s="1"/>
      <c r="Q13" s="1"/>
    </row>
    <row r="14">
      <c r="A14" s="1"/>
      <c r="B14" s="44" t="s">
        <v>29</v>
      </c>
      <c r="C14" s="45">
        <f>C7-C13</f>
        <v>38</v>
      </c>
      <c r="D14" s="6"/>
      <c r="E14" s="46"/>
      <c r="F14" s="46"/>
      <c r="G14" s="46"/>
      <c r="H14" s="1"/>
      <c r="I14" s="43" t="s">
        <v>30</v>
      </c>
      <c r="J14" s="47">
        <f>J12-J13</f>
        <v>3175.2</v>
      </c>
      <c r="K14" s="29">
        <f>J14*K6</f>
        <v>20321.28</v>
      </c>
      <c r="L14" s="1"/>
      <c r="M14" s="1"/>
      <c r="N14" s="1"/>
      <c r="O14" s="1"/>
      <c r="P14" s="1"/>
      <c r="Q14" s="1"/>
    </row>
    <row r="15">
      <c r="A15" s="1"/>
      <c r="B15" s="20" t="s">
        <v>31</v>
      </c>
      <c r="C15" s="48">
        <f>C13-C9</f>
        <v>20</v>
      </c>
      <c r="D15" s="6"/>
      <c r="E15" s="3"/>
      <c r="F15" s="3"/>
      <c r="G15" s="3"/>
      <c r="H15" s="6"/>
      <c r="I15" s="39" t="s">
        <v>32</v>
      </c>
      <c r="J15" s="40">
        <f>C16*J9-J16</f>
        <v>25354.56</v>
      </c>
      <c r="K15" s="29">
        <f>J15*K6</f>
        <v>162269.184</v>
      </c>
      <c r="L15" s="1"/>
      <c r="M15" s="1"/>
      <c r="N15" s="1"/>
      <c r="O15" s="1"/>
      <c r="P15" s="1"/>
      <c r="Q15" s="1"/>
    </row>
    <row r="16">
      <c r="A16" s="1"/>
      <c r="B16" s="20" t="s">
        <v>33</v>
      </c>
      <c r="C16" s="48">
        <f>C7-C8-C10-C11-C12</f>
        <v>50</v>
      </c>
      <c r="D16" s="6"/>
      <c r="E16" s="3"/>
      <c r="F16" s="3"/>
      <c r="G16" s="3"/>
      <c r="H16" s="6"/>
      <c r="I16" s="49" t="s">
        <v>34</v>
      </c>
      <c r="J16" s="50">
        <f>J9</f>
        <v>517.44</v>
      </c>
      <c r="K16" s="51"/>
      <c r="L16" s="1"/>
      <c r="M16" s="1"/>
      <c r="N16" s="1"/>
      <c r="O16" s="1"/>
      <c r="P16" s="1"/>
      <c r="Q16" s="1"/>
    </row>
    <row r="17">
      <c r="A17" s="1"/>
      <c r="B17" s="52"/>
      <c r="C17" s="52"/>
      <c r="D17" s="3"/>
      <c r="E17" s="3"/>
      <c r="F17" s="3"/>
      <c r="G17" s="3"/>
      <c r="H17" s="3"/>
      <c r="I17" s="53"/>
      <c r="J17" s="54"/>
      <c r="K17" s="54"/>
      <c r="L17" s="1"/>
      <c r="M17" s="1"/>
      <c r="N17" s="1"/>
      <c r="O17" s="1"/>
      <c r="P17" s="1"/>
      <c r="Q17" s="1"/>
    </row>
    <row r="18">
      <c r="A18" s="1"/>
      <c r="B18" s="1"/>
      <c r="C18" s="1"/>
      <c r="D18" s="3"/>
      <c r="E18" s="3"/>
      <c r="F18" s="3"/>
      <c r="G18" s="3"/>
      <c r="H18" s="3"/>
      <c r="I18" s="55" t="s">
        <v>35</v>
      </c>
      <c r="J18" s="56">
        <f>J15-J14-J11</f>
        <v>10659.36</v>
      </c>
      <c r="K18" s="57">
        <f>J18*K6</f>
        <v>68219.904</v>
      </c>
      <c r="L18" s="1"/>
      <c r="M18" s="1"/>
      <c r="N18" s="1"/>
      <c r="O18" s="1"/>
      <c r="P18" s="1"/>
      <c r="Q18" s="1"/>
    </row>
    <row r="19">
      <c r="A19" s="1"/>
      <c r="B19" s="58" t="s">
        <v>36</v>
      </c>
      <c r="C19" s="59"/>
      <c r="D19" s="3"/>
      <c r="E19" s="3"/>
      <c r="F19" s="60" t="s">
        <v>37</v>
      </c>
      <c r="G19" s="3"/>
      <c r="H19" s="3"/>
      <c r="I19" s="61" t="s">
        <v>38</v>
      </c>
      <c r="J19" s="61">
        <f>J18/J15</f>
        <v>0.4204119496</v>
      </c>
      <c r="K19" s="61"/>
      <c r="L19" s="1"/>
      <c r="M19" s="1"/>
      <c r="N19" s="1"/>
      <c r="O19" s="1"/>
      <c r="P19" s="1"/>
      <c r="Q19" s="1"/>
    </row>
    <row r="20">
      <c r="A20" s="1"/>
      <c r="B20" s="6"/>
      <c r="C20" s="3"/>
      <c r="D20" s="1"/>
      <c r="E20" s="1"/>
      <c r="F20" s="62" t="s">
        <v>37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1"/>
      <c r="B21" s="6"/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1"/>
      <c r="B22" s="3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1"/>
      <c r="B23" s="3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>
      <c r="A24" s="1"/>
      <c r="B24" s="6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6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1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1"/>
      <c r="B27" s="3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1"/>
      <c r="B28" s="6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1"/>
      <c r="B29" s="6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1"/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1"/>
      <c r="B31" s="3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</sheetData>
  <mergeCells count="4">
    <mergeCell ref="J7:K7"/>
    <mergeCell ref="J8:K8"/>
    <mergeCell ref="J9:K9"/>
    <mergeCell ref="J10:K10"/>
  </mergeCells>
  <conditionalFormatting sqref="I13:K13">
    <cfRule type="cellIs" dxfId="0" priority="1" operator="lessThan">
      <formula>0</formula>
    </cfRule>
  </conditionalFormatting>
  <conditionalFormatting sqref="J14:K14">
    <cfRule type="cellIs" dxfId="1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